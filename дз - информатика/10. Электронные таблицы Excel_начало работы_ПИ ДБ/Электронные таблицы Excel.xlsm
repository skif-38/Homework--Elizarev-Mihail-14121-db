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Zpenr\Documents\"/>
    </mc:Choice>
  </mc:AlternateContent>
  <xr:revisionPtr revIDLastSave="0" documentId="13_ncr:1_{06DDC55D-A23E-4965-AB57-28A7152BA395}" xr6:coauthVersionLast="47" xr6:coauthVersionMax="47" xr10:uidLastSave="{00000000-0000-0000-0000-000000000000}"/>
  <workbookProtection lockStructure="1"/>
  <bookViews>
    <workbookView xWindow="-120" yWindow="-120" windowWidth="29040" windowHeight="15990" xr2:uid="{04578327-88A7-480C-9DBE-6BA764797935}"/>
  </bookViews>
  <sheets>
    <sheet name="Лист1" sheetId="1" r:id="rId1"/>
    <sheet name="VBA1" sheetId="2" r:id="rId2"/>
    <sheet name="Лист3" sheetId="3" r:id="rId3"/>
    <sheet name="VBA2" sheetId="4" r:id="rId4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3" i="3" l="1"/>
  <c r="H4" i="3"/>
  <c r="H5" i="3"/>
  <c r="H6" i="3"/>
  <c r="H2" i="3"/>
  <c r="G3" i="3"/>
  <c r="G4" i="3"/>
  <c r="G5" i="3"/>
  <c r="G6" i="3"/>
  <c r="G2" i="3"/>
  <c r="F3" i="3"/>
  <c r="F4" i="3"/>
  <c r="F5" i="3"/>
  <c r="F6" i="3"/>
  <c r="F2" i="3"/>
  <c r="E3" i="3"/>
  <c r="E4" i="3"/>
  <c r="E5" i="3"/>
  <c r="E6" i="3"/>
  <c r="E2" i="3"/>
  <c r="D3" i="3"/>
  <c r="D4" i="3"/>
  <c r="D5" i="3"/>
  <c r="D6" i="3"/>
  <c r="D2" i="3"/>
  <c r="E3" i="1"/>
  <c r="E4" i="1"/>
  <c r="E5" i="1"/>
  <c r="E6" i="1"/>
  <c r="E7" i="1"/>
  <c r="E8" i="1"/>
  <c r="E9" i="1"/>
  <c r="E10" i="1"/>
  <c r="E11" i="1"/>
  <c r="E12" i="1"/>
  <c r="E13" i="1"/>
  <c r="E2" i="1"/>
  <c r="D3" i="1"/>
  <c r="D4" i="1"/>
  <c r="D5" i="1"/>
  <c r="D6" i="1"/>
  <c r="D7" i="1"/>
  <c r="D8" i="1"/>
  <c r="D9" i="1"/>
  <c r="D10" i="1"/>
  <c r="D11" i="1"/>
  <c r="D12" i="1"/>
  <c r="D13" i="1"/>
  <c r="D2" i="1"/>
</calcChain>
</file>

<file path=xl/sharedStrings.xml><?xml version="1.0" encoding="utf-8"?>
<sst xmlns="http://schemas.openxmlformats.org/spreadsheetml/2006/main" count="62" uniqueCount="32">
  <si>
    <t>Месяц</t>
  </si>
  <si>
    <t>Доход</t>
  </si>
  <si>
    <t>Расход</t>
  </si>
  <si>
    <t>Прибыль</t>
  </si>
  <si>
    <t>Налог</t>
  </si>
  <si>
    <t>Январь</t>
  </si>
  <si>
    <t>Февраль</t>
  </si>
  <si>
    <t>Март</t>
  </si>
  <si>
    <t>Апрель</t>
  </si>
  <si>
    <t>Май</t>
  </si>
  <si>
    <t>Июнь</t>
  </si>
  <si>
    <t>Июль</t>
  </si>
  <si>
    <t>Август</t>
  </si>
  <si>
    <t>Сентябрь</t>
  </si>
  <si>
    <t>Октябрь</t>
  </si>
  <si>
    <t>Ноябрь</t>
  </si>
  <si>
    <t>Декабрь</t>
  </si>
  <si>
    <t>Процент налога</t>
  </si>
  <si>
    <t>Фамилия</t>
  </si>
  <si>
    <t>Основное начисление</t>
  </si>
  <si>
    <t>Премия</t>
  </si>
  <si>
    <t>Всего начислено</t>
  </si>
  <si>
    <t>Всего удержано</t>
  </si>
  <si>
    <t>К выдаче</t>
  </si>
  <si>
    <t>Подоходный налог</t>
  </si>
  <si>
    <t>Пенсионный фонд</t>
  </si>
  <si>
    <t>Иванов</t>
  </si>
  <si>
    <t>Петров</t>
  </si>
  <si>
    <t>Сидоров</t>
  </si>
  <si>
    <t>Кузнецов</t>
  </si>
  <si>
    <t>Смирнов</t>
  </si>
  <si>
    <t>Total: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</si>
</sst>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  <charset val="204"/>
    </font>
    <font>
      <sz val="8"/>
      <name val="Calibri"/>
      <family val="2"/>
      <scheme val="minor"/>
    </font>
    <font>
      <b/>
      <sz val="11"/>
      <color theme="1"/>
      <name val="Calibri"/>
      <family val="2"/>
      <charset val="204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1" fillId="0" borderId="0" xfId="0" applyFont="1" applyBorder="1" applyAlignment="1">
      <alignment horizontal="center" vertical="center" wrapText="1"/>
    </xf>
    <xf numFmtId="0" fontId="1" fillId="0" borderId="0" xfId="0" applyFont="1" applyFill="1" applyBorder="1" applyAlignment="1">
      <alignment horizontal="center" vertical="center" wrapText="1"/>
    </xf>
    <xf numFmtId="0" fontId="0" fillId="0" borderId="0" xfId="0" applyFill="1"/>
    <xf numFmtId="0" fontId="1" fillId="2" borderId="0" xfId="0" applyFont="1" applyFill="1" applyBorder="1" applyAlignment="1">
      <alignment horizontal="center" vertical="center" wrapText="1"/>
    </xf>
    <xf numFmtId="0" fontId="0" fillId="0" borderId="0" xfId="0" applyBorder="1"/>
    <xf numFmtId="0" fontId="0" fillId="2" borderId="0" xfId="0" applyFill="1"/>
    <xf numFmtId="0" fontId="3" fillId="0" borderId="0" xfId="0" applyFont="1"/>
    <xf numFmtId="0" fontId="1" fillId="0" borderId="0" xfId="0" applyFont="1" applyBorder="1" applyAlignment="1" applyProtection="1">
      <alignment horizontal="center" vertical="center" wrapText="1"/>
      <protection locked="0"/>
    </xf>
  </cellXfs>
  <cellStyles count="1">
    <cellStyle name="Обычный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Лист3!$H$1</c:f>
              <c:strCache>
                <c:ptCount val="1"/>
                <c:pt idx="0">
                  <c:v>К выдаче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Лист3!$A$2:$A$6</c:f>
              <c:strCache>
                <c:ptCount val="5"/>
                <c:pt idx="0">
                  <c:v>Иванов</c:v>
                </c:pt>
                <c:pt idx="1">
                  <c:v>Петров</c:v>
                </c:pt>
                <c:pt idx="2">
                  <c:v>Сидоров</c:v>
                </c:pt>
                <c:pt idx="3">
                  <c:v>Кузнецов</c:v>
                </c:pt>
                <c:pt idx="4">
                  <c:v>Смирнов</c:v>
                </c:pt>
              </c:strCache>
            </c:strRef>
          </c:cat>
          <c:val>
            <c:numRef>
              <c:f>Лист3!$H$2:$H$6</c:f>
              <c:numCache>
                <c:formatCode>General</c:formatCode>
                <c:ptCount val="5"/>
                <c:pt idx="0">
                  <c:v>19500</c:v>
                </c:pt>
                <c:pt idx="1">
                  <c:v>13000</c:v>
                </c:pt>
                <c:pt idx="2">
                  <c:v>24050</c:v>
                </c:pt>
                <c:pt idx="3">
                  <c:v>7800</c:v>
                </c:pt>
                <c:pt idx="4">
                  <c:v>35750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222-4F69-BDCC-3BB91905D8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01455848"/>
        <c:axId val="701455488"/>
      </c:barChart>
      <c:catAx>
        <c:axId val="7014558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01455488"/>
        <c:crosses val="autoZero"/>
        <c:auto val="1"/>
        <c:lblAlgn val="ctr"/>
        <c:lblOffset val="100"/>
        <c:noMultiLvlLbl val="0"/>
      </c:catAx>
      <c:valAx>
        <c:axId val="7014554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014558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20645</xdr:colOff>
      <xdr:row>0</xdr:row>
      <xdr:rowOff>486103</xdr:rowOff>
    </xdr:from>
    <xdr:to>
      <xdr:col>16</xdr:col>
      <xdr:colOff>318500</xdr:colOff>
      <xdr:row>15</xdr:row>
      <xdr:rowOff>76200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A07484B6-0A37-7ECE-0EA7-B0171F3BC83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F5F02C-995F-416E-9E16-212A67D006EE}">
  <sheetPr codeName="Лист1"/>
  <dimension ref="A1:G13"/>
  <sheetViews>
    <sheetView tabSelected="1" zoomScale="160" zoomScaleNormal="160" workbookViewId="0">
      <selection activeCell="H13" sqref="H13"/>
    </sheetView>
  </sheetViews>
  <sheetFormatPr defaultRowHeight="15" x14ac:dyDescent="0.25"/>
  <cols>
    <col min="7" max="7" width="17.7109375" customWidth="1"/>
  </cols>
  <sheetData>
    <row r="1" spans="1:7" ht="25.5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G1" s="2" t="s">
        <v>17</v>
      </c>
    </row>
    <row r="2" spans="1:7" x14ac:dyDescent="0.25">
      <c r="A2" s="1" t="s">
        <v>5</v>
      </c>
      <c r="B2" s="8">
        <v>768</v>
      </c>
      <c r="C2" s="8">
        <v>264</v>
      </c>
      <c r="D2" s="1">
        <f>B2-C2</f>
        <v>504</v>
      </c>
      <c r="E2" s="1">
        <f>IF(D2&gt;0, D2*$G$2, 0)</f>
        <v>65.52</v>
      </c>
      <c r="G2">
        <v>0.13</v>
      </c>
    </row>
    <row r="3" spans="1:7" x14ac:dyDescent="0.25">
      <c r="A3" s="1" t="s">
        <v>6</v>
      </c>
      <c r="B3" s="8">
        <v>412</v>
      </c>
      <c r="C3" s="8">
        <v>341</v>
      </c>
      <c r="D3" s="1">
        <f t="shared" ref="D3:D13" si="0">B3-C3</f>
        <v>71</v>
      </c>
      <c r="E3" s="1">
        <f t="shared" ref="E3:E13" si="1">IF(D3&gt;0, D3*$G$2, 0)</f>
        <v>9.23</v>
      </c>
    </row>
    <row r="4" spans="1:7" x14ac:dyDescent="0.25">
      <c r="A4" s="1" t="s">
        <v>7</v>
      </c>
      <c r="B4" s="8">
        <v>706</v>
      </c>
      <c r="C4" s="8">
        <v>819</v>
      </c>
      <c r="D4" s="1">
        <f t="shared" si="0"/>
        <v>-113</v>
      </c>
      <c r="E4" s="1">
        <f t="shared" si="1"/>
        <v>0</v>
      </c>
    </row>
    <row r="5" spans="1:7" x14ac:dyDescent="0.25">
      <c r="A5" s="1" t="s">
        <v>8</v>
      </c>
      <c r="B5" s="8">
        <v>879</v>
      </c>
      <c r="C5" s="8">
        <v>282</v>
      </c>
      <c r="D5" s="1">
        <f t="shared" si="0"/>
        <v>597</v>
      </c>
      <c r="E5" s="1">
        <f t="shared" si="1"/>
        <v>77.61</v>
      </c>
    </row>
    <row r="6" spans="1:7" x14ac:dyDescent="0.25">
      <c r="A6" s="1" t="s">
        <v>9</v>
      </c>
      <c r="B6" s="8">
        <v>927</v>
      </c>
      <c r="C6" s="8">
        <v>117</v>
      </c>
      <c r="D6" s="1">
        <f t="shared" si="0"/>
        <v>810</v>
      </c>
      <c r="E6" s="1">
        <f t="shared" si="1"/>
        <v>105.3</v>
      </c>
    </row>
    <row r="7" spans="1:7" x14ac:dyDescent="0.25">
      <c r="A7" s="1" t="s">
        <v>10</v>
      </c>
      <c r="B7" s="8">
        <v>173</v>
      </c>
      <c r="C7" s="8">
        <v>954</v>
      </c>
      <c r="D7" s="1">
        <f t="shared" si="0"/>
        <v>-781</v>
      </c>
      <c r="E7" s="1">
        <f t="shared" si="1"/>
        <v>0</v>
      </c>
    </row>
    <row r="8" spans="1:7" x14ac:dyDescent="0.25">
      <c r="A8" s="1" t="s">
        <v>11</v>
      </c>
      <c r="B8" s="8">
        <v>974</v>
      </c>
      <c r="C8" s="8">
        <v>551</v>
      </c>
      <c r="D8" s="1">
        <f t="shared" si="0"/>
        <v>423</v>
      </c>
      <c r="E8" s="1">
        <f t="shared" si="1"/>
        <v>54.99</v>
      </c>
    </row>
    <row r="9" spans="1:7" x14ac:dyDescent="0.25">
      <c r="A9" s="1" t="s">
        <v>12</v>
      </c>
      <c r="B9" s="8">
        <v>703</v>
      </c>
      <c r="C9" s="8">
        <v>585</v>
      </c>
      <c r="D9" s="1">
        <f t="shared" si="0"/>
        <v>118</v>
      </c>
      <c r="E9" s="1">
        <f t="shared" si="1"/>
        <v>15.34</v>
      </c>
    </row>
    <row r="10" spans="1:7" x14ac:dyDescent="0.25">
      <c r="A10" s="1" t="s">
        <v>13</v>
      </c>
      <c r="B10" s="8">
        <v>846</v>
      </c>
      <c r="C10" s="8">
        <v>843</v>
      </c>
      <c r="D10" s="1">
        <f t="shared" si="0"/>
        <v>3</v>
      </c>
      <c r="E10" s="1">
        <f t="shared" si="1"/>
        <v>0.39</v>
      </c>
    </row>
    <row r="11" spans="1:7" x14ac:dyDescent="0.25">
      <c r="A11" s="1" t="s">
        <v>14</v>
      </c>
      <c r="B11" s="8">
        <v>738</v>
      </c>
      <c r="C11" s="8">
        <v>977</v>
      </c>
      <c r="D11" s="1">
        <f t="shared" si="0"/>
        <v>-239</v>
      </c>
      <c r="E11" s="1">
        <f t="shared" si="1"/>
        <v>0</v>
      </c>
    </row>
    <row r="12" spans="1:7" x14ac:dyDescent="0.25">
      <c r="A12" s="1" t="s">
        <v>15</v>
      </c>
      <c r="B12" s="8">
        <v>241</v>
      </c>
      <c r="C12" s="8">
        <v>167</v>
      </c>
      <c r="D12" s="1">
        <f t="shared" si="0"/>
        <v>74</v>
      </c>
      <c r="E12" s="1">
        <f t="shared" si="1"/>
        <v>9.620000000000001</v>
      </c>
    </row>
    <row r="13" spans="1:7" x14ac:dyDescent="0.25">
      <c r="A13" s="1" t="s">
        <v>16</v>
      </c>
      <c r="B13" s="8">
        <v>636</v>
      </c>
      <c r="C13" s="8">
        <v>640</v>
      </c>
      <c r="D13" s="1">
        <f t="shared" si="0"/>
        <v>-4</v>
      </c>
      <c r="E13" s="1">
        <f t="shared" si="1"/>
        <v>0</v>
      </c>
    </row>
  </sheetData>
  <sheetProtection sheet="1" objects="1" scenarios="1"/>
  <conditionalFormatting sqref="D2:D13">
    <cfRule type="cellIs" dxfId="2" priority="1" operator="lessThan">
      <formula>0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FDABD2-746C-4C2C-B4D8-0E66A4F304BC}">
  <sheetPr codeName="Лист2"/>
  <dimension ref="A1:E13"/>
  <sheetViews>
    <sheetView zoomScale="235" zoomScaleNormal="235" workbookViewId="0">
      <selection activeCell="B2" sqref="B2:C13"/>
    </sheetView>
  </sheetViews>
  <sheetFormatPr defaultRowHeight="15" x14ac:dyDescent="0.25"/>
  <sheetData>
    <row r="1" spans="1:5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</row>
    <row r="2" spans="1:5" x14ac:dyDescent="0.25">
      <c r="A2" s="1" t="s">
        <v>5</v>
      </c>
      <c r="B2" s="8">
        <v>768</v>
      </c>
      <c r="C2" s="8">
        <v>264</v>
      </c>
      <c r="D2" s="2">
        <v>504</v>
      </c>
      <c r="E2" s="1">
        <v>65.52</v>
      </c>
    </row>
    <row r="3" spans="1:5" x14ac:dyDescent="0.25">
      <c r="A3" s="1" t="s">
        <v>6</v>
      </c>
      <c r="B3" s="8">
        <v>412</v>
      </c>
      <c r="C3" s="8">
        <v>341</v>
      </c>
      <c r="D3" s="2">
        <v>71</v>
      </c>
      <c r="E3" s="1">
        <v>9.23</v>
      </c>
    </row>
    <row r="4" spans="1:5" x14ac:dyDescent="0.25">
      <c r="A4" s="1" t="s">
        <v>7</v>
      </c>
      <c r="B4" s="8">
        <v>706</v>
      </c>
      <c r="C4" s="8">
        <v>819</v>
      </c>
      <c r="D4" s="4">
        <v>-113</v>
      </c>
      <c r="E4" s="1">
        <v>0</v>
      </c>
    </row>
    <row r="5" spans="1:5" x14ac:dyDescent="0.25">
      <c r="A5" s="1" t="s">
        <v>8</v>
      </c>
      <c r="B5" s="8">
        <v>879</v>
      </c>
      <c r="C5" s="8">
        <v>282</v>
      </c>
      <c r="D5" s="2">
        <v>597</v>
      </c>
      <c r="E5" s="1">
        <v>77.61</v>
      </c>
    </row>
    <row r="6" spans="1:5" x14ac:dyDescent="0.25">
      <c r="A6" s="1" t="s">
        <v>9</v>
      </c>
      <c r="B6" s="8">
        <v>927</v>
      </c>
      <c r="C6" s="8">
        <v>117</v>
      </c>
      <c r="D6" s="2">
        <v>810</v>
      </c>
      <c r="E6" s="1">
        <v>105.3</v>
      </c>
    </row>
    <row r="7" spans="1:5" x14ac:dyDescent="0.25">
      <c r="A7" s="1" t="s">
        <v>10</v>
      </c>
      <c r="B7" s="8">
        <v>173</v>
      </c>
      <c r="C7" s="8">
        <v>954</v>
      </c>
      <c r="D7" s="4">
        <v>-781</v>
      </c>
      <c r="E7" s="1">
        <v>0</v>
      </c>
    </row>
    <row r="8" spans="1:5" x14ac:dyDescent="0.25">
      <c r="A8" s="1" t="s">
        <v>11</v>
      </c>
      <c r="B8" s="8">
        <v>974</v>
      </c>
      <c r="C8" s="8">
        <v>551</v>
      </c>
      <c r="D8" s="2">
        <v>423</v>
      </c>
      <c r="E8" s="1">
        <v>54.99</v>
      </c>
    </row>
    <row r="9" spans="1:5" x14ac:dyDescent="0.25">
      <c r="A9" s="1" t="s">
        <v>12</v>
      </c>
      <c r="B9" s="8">
        <v>703</v>
      </c>
      <c r="C9" s="8">
        <v>585</v>
      </c>
      <c r="D9" s="2">
        <v>118</v>
      </c>
      <c r="E9" s="1">
        <v>15.34</v>
      </c>
    </row>
    <row r="10" spans="1:5" x14ac:dyDescent="0.25">
      <c r="A10" s="1" t="s">
        <v>13</v>
      </c>
      <c r="B10" s="8">
        <v>846</v>
      </c>
      <c r="C10" s="8">
        <v>843</v>
      </c>
      <c r="D10" s="2">
        <v>3</v>
      </c>
      <c r="E10" s="1">
        <v>0.39</v>
      </c>
    </row>
    <row r="11" spans="1:5" x14ac:dyDescent="0.25">
      <c r="A11" s="1" t="s">
        <v>14</v>
      </c>
      <c r="B11" s="8">
        <v>738</v>
      </c>
      <c r="C11" s="8">
        <v>977</v>
      </c>
      <c r="D11" s="4">
        <v>-239</v>
      </c>
      <c r="E11" s="1">
        <v>0</v>
      </c>
    </row>
    <row r="12" spans="1:5" x14ac:dyDescent="0.25">
      <c r="A12" s="1" t="s">
        <v>15</v>
      </c>
      <c r="B12" s="8">
        <v>241</v>
      </c>
      <c r="C12" s="8">
        <v>167</v>
      </c>
      <c r="D12" s="2">
        <v>74</v>
      </c>
      <c r="E12" s="1">
        <v>9.620000000000001</v>
      </c>
    </row>
    <row r="13" spans="1:5" x14ac:dyDescent="0.25">
      <c r="A13" s="1" t="s">
        <v>16</v>
      </c>
      <c r="B13" s="8">
        <v>636</v>
      </c>
      <c r="C13" s="8">
        <v>640</v>
      </c>
      <c r="D13" s="4">
        <v>-4</v>
      </c>
      <c r="E13" s="1">
        <v>0</v>
      </c>
    </row>
  </sheetData>
  <sheetProtection sheet="1" objects="1" scenarios="1"/>
  <conditionalFormatting sqref="D2:D13">
    <cfRule type="cellIs" dxfId="1" priority="1" operator="lessThan">
      <formula>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C75F35-A746-4A72-A81D-137CC3E570EC}">
  <sheetPr codeName="Лист3"/>
  <dimension ref="A1:H6"/>
  <sheetViews>
    <sheetView zoomScale="145" zoomScaleNormal="145" workbookViewId="0">
      <selection activeCell="D10" sqref="D10"/>
    </sheetView>
  </sheetViews>
  <sheetFormatPr defaultRowHeight="15" outlineLevelCol="1" x14ac:dyDescent="0.25"/>
  <cols>
    <col min="1" max="1" width="9.140625" customWidth="1"/>
    <col min="2" max="2" width="12.5703125" customWidth="1" outlineLevel="1"/>
    <col min="3" max="3" width="9.140625" customWidth="1" outlineLevel="1"/>
    <col min="4" max="4" width="11" customWidth="1" outlineLevel="1"/>
    <col min="5" max="5" width="14.42578125" customWidth="1" outlineLevel="1"/>
    <col min="6" max="6" width="12.42578125" customWidth="1" outlineLevel="1"/>
    <col min="7" max="7" width="9.140625" customWidth="1" outlineLevel="1"/>
  </cols>
  <sheetData>
    <row r="1" spans="1:8" ht="38.25" x14ac:dyDescent="0.25">
      <c r="A1" s="1" t="s">
        <v>18</v>
      </c>
      <c r="B1" s="1" t="s">
        <v>19</v>
      </c>
      <c r="C1" s="1" t="s">
        <v>20</v>
      </c>
      <c r="D1" s="1" t="s">
        <v>21</v>
      </c>
      <c r="E1" s="1" t="s">
        <v>24</v>
      </c>
      <c r="F1" s="1" t="s">
        <v>25</v>
      </c>
      <c r="G1" s="1" t="s">
        <v>22</v>
      </c>
      <c r="H1" s="1" t="s">
        <v>23</v>
      </c>
    </row>
    <row r="2" spans="1:8" x14ac:dyDescent="0.25">
      <c r="A2" s="1" t="s">
        <v>26</v>
      </c>
      <c r="B2" s="8">
        <v>25000</v>
      </c>
      <c r="C2" s="8">
        <v>5000</v>
      </c>
      <c r="D2" s="5">
        <f>B2+C2</f>
        <v>30000</v>
      </c>
      <c r="E2" s="5">
        <f>D2*0.13</f>
        <v>3900</v>
      </c>
      <c r="F2" s="5">
        <f>D2*0.22</f>
        <v>6600</v>
      </c>
      <c r="G2" s="5">
        <f>E2+F2</f>
        <v>10500</v>
      </c>
      <c r="H2" s="5">
        <f>D2-G2</f>
        <v>19500</v>
      </c>
    </row>
    <row r="3" spans="1:8" x14ac:dyDescent="0.25">
      <c r="A3" s="1" t="s">
        <v>27</v>
      </c>
      <c r="B3" s="8">
        <v>18000</v>
      </c>
      <c r="C3" s="8">
        <v>2000</v>
      </c>
      <c r="D3" s="5">
        <f t="shared" ref="D3:D6" si="0">B3+C3</f>
        <v>20000</v>
      </c>
      <c r="E3" s="5">
        <f t="shared" ref="E3:E6" si="1">D3*0.13</f>
        <v>2600</v>
      </c>
      <c r="F3" s="5">
        <f t="shared" ref="F3:F6" si="2">D3*0.22</f>
        <v>4400</v>
      </c>
      <c r="G3" s="5">
        <f t="shared" ref="G3:G6" si="3">E3+F3</f>
        <v>7000</v>
      </c>
      <c r="H3" s="5">
        <f t="shared" ref="H3:H6" si="4">D3-G3</f>
        <v>13000</v>
      </c>
    </row>
    <row r="4" spans="1:8" x14ac:dyDescent="0.25">
      <c r="A4" s="1" t="s">
        <v>28</v>
      </c>
      <c r="B4" s="8">
        <v>30000</v>
      </c>
      <c r="C4" s="8">
        <v>7000</v>
      </c>
      <c r="D4" s="5">
        <f t="shared" si="0"/>
        <v>37000</v>
      </c>
      <c r="E4" s="5">
        <f t="shared" si="1"/>
        <v>4810</v>
      </c>
      <c r="F4" s="5">
        <f t="shared" si="2"/>
        <v>8140</v>
      </c>
      <c r="G4" s="5">
        <f t="shared" si="3"/>
        <v>12950</v>
      </c>
      <c r="H4" s="5">
        <f t="shared" si="4"/>
        <v>24050</v>
      </c>
    </row>
    <row r="5" spans="1:8" x14ac:dyDescent="0.25">
      <c r="A5" s="1" t="s">
        <v>29</v>
      </c>
      <c r="B5" s="8">
        <v>12000</v>
      </c>
      <c r="C5" s="8">
        <v>0</v>
      </c>
      <c r="D5" s="5">
        <f t="shared" si="0"/>
        <v>12000</v>
      </c>
      <c r="E5" s="5">
        <f t="shared" si="1"/>
        <v>1560</v>
      </c>
      <c r="F5" s="5">
        <f t="shared" si="2"/>
        <v>2640</v>
      </c>
      <c r="G5" s="5">
        <f t="shared" si="3"/>
        <v>4200</v>
      </c>
      <c r="H5" s="5">
        <f t="shared" si="4"/>
        <v>7800</v>
      </c>
    </row>
    <row r="6" spans="1:8" x14ac:dyDescent="0.25">
      <c r="A6" s="1" t="s">
        <v>30</v>
      </c>
      <c r="B6" s="8">
        <v>45000</v>
      </c>
      <c r="C6" s="8">
        <v>10000</v>
      </c>
      <c r="D6" s="5">
        <f t="shared" si="0"/>
        <v>55000</v>
      </c>
      <c r="E6" s="5">
        <f t="shared" si="1"/>
        <v>7150</v>
      </c>
      <c r="F6" s="5">
        <f t="shared" si="2"/>
        <v>12100</v>
      </c>
      <c r="G6" s="5">
        <f t="shared" si="3"/>
        <v>19250</v>
      </c>
      <c r="H6" s="5">
        <f t="shared" si="4"/>
        <v>35750</v>
      </c>
    </row>
  </sheetData>
  <sheetProtection sheet="1" objects="1" scenarios="1"/>
  <phoneticPr fontId="2" type="noConversion"/>
  <conditionalFormatting sqref="H2:H6">
    <cfRule type="cellIs" dxfId="0" priority="1" operator="lessThan">
      <formula>12333</formula>
    </cfRule>
  </conditionalFormatting>
  <dataValidations count="1">
    <dataValidation type="decimal" operator="greaterThanOrEqual" allowBlank="1" showInputMessage="1" showErrorMessage="1" error="Вводите только положительные числа!" sqref="B2:C6" xr:uid="{BB53EA8F-455F-4C7A-843D-822711C49CF0}">
      <formula1>0</formula1>
    </dataValidation>
  </dataValidation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784FE6-90C6-40C0-A42E-37EACC1EBFBD}">
  <sheetPr codeName="Лист4"/>
  <dimension ref="A1:H7"/>
  <sheetViews>
    <sheetView workbookViewId="0">
      <selection activeCell="C5" sqref="C5"/>
    </sheetView>
  </sheetViews>
  <sheetFormatPr defaultRowHeight="15" x14ac:dyDescent="0.25"/>
  <sheetData>
    <row r="1" spans="1:8" ht="51" x14ac:dyDescent="0.25">
      <c r="A1" s="1" t="s">
        <v>18</v>
      </c>
      <c r="B1" s="1" t="s">
        <v>19</v>
      </c>
      <c r="C1" s="1" t="s">
        <v>20</v>
      </c>
      <c r="D1" s="1" t="s">
        <v>21</v>
      </c>
      <c r="E1" s="1" t="s">
        <v>24</v>
      </c>
      <c r="F1" s="1" t="s">
        <v>25</v>
      </c>
      <c r="G1" s="1" t="s">
        <v>22</v>
      </c>
      <c r="H1" s="1" t="s">
        <v>23</v>
      </c>
    </row>
    <row r="2" spans="1:8" x14ac:dyDescent="0.25">
      <c r="A2" s="1" t="s">
        <v>26</v>
      </c>
      <c r="B2" s="8">
        <v>25000</v>
      </c>
      <c r="C2" s="8">
        <v>5000</v>
      </c>
      <c r="D2">
        <v>30000</v>
      </c>
      <c r="E2">
        <v>3900</v>
      </c>
      <c r="F2">
        <v>6600</v>
      </c>
      <c r="G2">
        <v>10500</v>
      </c>
      <c r="H2" s="3">
        <v>19500</v>
      </c>
    </row>
    <row r="3" spans="1:8" x14ac:dyDescent="0.25">
      <c r="A3" s="1" t="s">
        <v>27</v>
      </c>
      <c r="B3" s="8">
        <v>18000</v>
      </c>
      <c r="C3" s="8">
        <v>2000</v>
      </c>
      <c r="D3">
        <v>20000</v>
      </c>
      <c r="E3">
        <v>2600</v>
      </c>
      <c r="F3">
        <v>4400</v>
      </c>
      <c r="G3">
        <v>7000</v>
      </c>
      <c r="H3" s="3">
        <v>13000</v>
      </c>
    </row>
    <row r="4" spans="1:8" x14ac:dyDescent="0.25">
      <c r="A4" s="1" t="s">
        <v>28</v>
      </c>
      <c r="B4" s="8">
        <v>30000</v>
      </c>
      <c r="C4" s="8">
        <v>7000</v>
      </c>
      <c r="D4">
        <v>37000</v>
      </c>
      <c r="E4">
        <v>4810</v>
      </c>
      <c r="F4">
        <v>8140</v>
      </c>
      <c r="G4">
        <v>12950</v>
      </c>
      <c r="H4" s="3">
        <v>24050</v>
      </c>
    </row>
    <row r="5" spans="1:8" x14ac:dyDescent="0.25">
      <c r="A5" s="1" t="s">
        <v>29</v>
      </c>
      <c r="B5" s="8">
        <v>12000</v>
      </c>
      <c r="C5" s="8">
        <v>0</v>
      </c>
      <c r="D5">
        <v>12000</v>
      </c>
      <c r="E5">
        <v>1560</v>
      </c>
      <c r="F5">
        <v>2640</v>
      </c>
      <c r="G5">
        <v>4200</v>
      </c>
      <c r="H5" s="6">
        <v>7800</v>
      </c>
    </row>
    <row r="6" spans="1:8" x14ac:dyDescent="0.25">
      <c r="A6" s="1" t="s">
        <v>30</v>
      </c>
      <c r="B6" s="8">
        <v>45000</v>
      </c>
      <c r="C6" s="8">
        <v>10000</v>
      </c>
      <c r="D6">
        <v>55000</v>
      </c>
      <c r="E6">
        <v>7150</v>
      </c>
      <c r="F6">
        <v>12100</v>
      </c>
      <c r="G6">
        <v>19250</v>
      </c>
      <c r="H6" s="3">
        <v>35750</v>
      </c>
    </row>
    <row r="7" spans="1:8" x14ac:dyDescent="0.25">
      <c r="A7" s="7" t="s">
        <v>31</v>
      </c>
      <c r="B7" s="7"/>
      <c r="C7" s="7"/>
      <c r="D7" s="7">
        <v>154000</v>
      </c>
      <c r="E7" s="7">
        <v>20020</v>
      </c>
      <c r="F7" s="7">
        <v>33880</v>
      </c>
      <c r="G7" s="7">
        <v>53900</v>
      </c>
      <c r="H7" s="7">
        <v>100100</v>
      </c>
    </row>
  </sheetData>
  <sheetProtection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4</vt:i4>
      </vt:variant>
    </vt:vector>
  </HeadingPairs>
  <TitlesOfParts>
    <vt:vector size="4" baseType="lpstr">
      <vt:lpstr>Лист1</vt:lpstr>
      <vt:lpstr>VBA1</vt:lpstr>
      <vt:lpstr>Лист3</vt:lpstr>
      <vt:lpstr>VBA2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zpenr@bk.ru</dc:creator>
  <cp:lastModifiedBy>zpenr@bk.ru</cp:lastModifiedBy>
  <dcterms:created xsi:type="dcterms:W3CDTF">2025-12-03T14:32:40Z</dcterms:created>
  <dcterms:modified xsi:type="dcterms:W3CDTF">2025-12-03T15:08:43Z</dcterms:modified>
</cp:coreProperties>
</file>